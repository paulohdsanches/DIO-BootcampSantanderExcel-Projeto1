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assai-my.sharepoint.com/personal/paulo_sanches_agroassai_com_br/Documents/Pessoal/Cursos/[Dio] Bootcamp Santander Excel/"/>
    </mc:Choice>
  </mc:AlternateContent>
  <xr:revisionPtr revIDLastSave="202" documentId="8_{837EDEF5-53C1-4637-926D-0377A803961D}" xr6:coauthVersionLast="47" xr6:coauthVersionMax="47" xr10:uidLastSave="{AFAFB13E-3117-480B-A557-727324E03A2F}"/>
  <bookViews>
    <workbookView xWindow="-120" yWindow="-120" windowWidth="20730" windowHeight="11040" xr2:uid="{F9FD7034-6B91-4401-8DCC-5A35167FB388}"/>
  </bookViews>
  <sheets>
    <sheet name="Investimentos" sheetId="1" r:id="rId1"/>
    <sheet name="Tabelas Auxiliar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O17" i="1"/>
  <c r="O18" i="1"/>
  <c r="O19" i="1"/>
  <c r="O20" i="1"/>
  <c r="O15" i="1"/>
  <c r="C20" i="1"/>
  <c r="F15" i="1" a="1"/>
  <c r="F15" i="1" s="1"/>
  <c r="B15" i="1"/>
  <c r="H19" i="1" l="1"/>
  <c r="H16" i="1"/>
  <c r="H20" i="1"/>
  <c r="H18" i="1"/>
  <c r="H15" i="1"/>
  <c r="H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<sst xmlns="http://schemas.openxmlformats.org/spreadsheetml/2006/main" count="58" uniqueCount="32">
  <si>
    <t>Configurações Iniciais</t>
  </si>
  <si>
    <t>SIMULADOR DE INVESTIMENTOS EM FUNDOS IMOBILIÁRIOS (FIIs) - 2025</t>
  </si>
  <si>
    <t>Salário:</t>
  </si>
  <si>
    <t>Perfil de Investidor:</t>
  </si>
  <si>
    <t>Moderado</t>
  </si>
  <si>
    <t>Conservador</t>
  </si>
  <si>
    <t>Agressivo</t>
  </si>
  <si>
    <t>De acordo com seu perfil, sugerimos maior concentração de investimentos nos FIIs de tipo TIJOLO.</t>
  </si>
  <si>
    <t>De acordo com seu perfil, sugerimos uma mescla entre FIIs de tipo TIJOLO e PAPEL, colocando um "pezinho" nos FIIs de DESENVOLVIMENTO e HOTELARIA</t>
  </si>
  <si>
    <t>De acordo com seu perfil, sugerimos maior concentração de investimentos nos FIIs de tipo PAPEL e aportes um pouco mais "agressivos" em FIIs de DESENVOLVIMENTO também.</t>
  </si>
  <si>
    <t>Tipo Investidor</t>
  </si>
  <si>
    <t>Sugestão</t>
  </si>
  <si>
    <t>Tipo FII</t>
  </si>
  <si>
    <t>Sugestão % de Investimento</t>
  </si>
  <si>
    <t>PAPEL</t>
  </si>
  <si>
    <t>TIJOLO</t>
  </si>
  <si>
    <t>HÍBRIDOS</t>
  </si>
  <si>
    <t>FOFs</t>
  </si>
  <si>
    <t>DESENVOLVIMENTO</t>
  </si>
  <si>
    <t>HOTELARIAS</t>
  </si>
  <si>
    <t>Nosso sistema baseia-se na regra dos 50-30-20 aplicada sobre a renda, sendo:</t>
  </si>
  <si>
    <t>50% - Gastos Essenciais (ex: Água, Luz, Aluguel, Alimentação, etc.)</t>
  </si>
  <si>
    <t>30% - Lazer (ex: Viagens, Passeios, Cinema, etc.)</t>
  </si>
  <si>
    <t>20% - Investimentos</t>
  </si>
  <si>
    <t>Cenário 1 - Nossa Sugestão de Investimentos</t>
  </si>
  <si>
    <t>Tipo</t>
  </si>
  <si>
    <t>%</t>
  </si>
  <si>
    <t>Valor R$</t>
  </si>
  <si>
    <t>Valor Total a Investir:</t>
  </si>
  <si>
    <t>Cenário 2 - Você Decide</t>
  </si>
  <si>
    <t>Seu Aporte:</t>
  </si>
  <si>
    <t>*Preencha os campos destacados com essa 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</si>
</sst>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 tint="0.49998474074526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7" applyNumberFormat="0" applyFill="0" applyAlignment="0" applyProtection="0"/>
  </cellStyleXfs>
  <cellXfs count="30">
    <xf numFmtId="0" fontId="0" fillId="0" borderId="0" xfId="0"/>
    <xf numFmtId="8" fontId="0" fillId="0" borderId="0" xfId="0" applyNumberFormat="1"/>
    <xf numFmtId="0" fontId="2" fillId="0" borderId="1" xfId="3"/>
    <xf numFmtId="9" fontId="0" fillId="0" borderId="0" xfId="2" applyFont="1" applyAlignment="1">
      <alignment horizontal="left"/>
    </xf>
    <xf numFmtId="0" fontId="0" fillId="0" borderId="0" xfId="0" applyBorder="1"/>
    <xf numFmtId="0" fontId="0" fillId="0" borderId="0" xfId="0" applyBorder="1" applyAlignment="1"/>
    <xf numFmtId="0" fontId="3" fillId="0" borderId="7" xfId="4" applyAlignment="1"/>
    <xf numFmtId="0" fontId="0" fillId="0" borderId="0" xfId="0" applyBorder="1" applyAlignment="1">
      <alignment horizontal="left"/>
    </xf>
    <xf numFmtId="0" fontId="3" fillId="0" borderId="7" xfId="4"/>
    <xf numFmtId="0" fontId="0" fillId="0" borderId="8" xfId="0" applyBorder="1" applyAlignment="1">
      <alignment horizontal="justify" vertical="top" wrapText="1"/>
    </xf>
    <xf numFmtId="0" fontId="0" fillId="0" borderId="0" xfId="0" applyBorder="1" applyAlignment="1">
      <alignment horizontal="justify" vertical="top" wrapText="1"/>
    </xf>
    <xf numFmtId="0" fontId="4" fillId="2" borderId="0" xfId="0" applyFont="1" applyFill="1"/>
    <xf numFmtId="0" fontId="0" fillId="0" borderId="2" xfId="0" applyBorder="1"/>
    <xf numFmtId="9" fontId="0" fillId="0" borderId="0" xfId="2" applyFont="1" applyBorder="1" applyAlignment="1">
      <alignment horizontal="center"/>
    </xf>
    <xf numFmtId="44" fontId="0" fillId="0" borderId="3" xfId="0" applyNumberFormat="1" applyBorder="1"/>
    <xf numFmtId="0" fontId="0" fillId="0" borderId="4" xfId="0" applyBorder="1"/>
    <xf numFmtId="9" fontId="0" fillId="0" borderId="5" xfId="2" applyFont="1" applyBorder="1" applyAlignment="1">
      <alignment horizontal="center"/>
    </xf>
    <xf numFmtId="44" fontId="0" fillId="0" borderId="6" xfId="0" applyNumberFormat="1" applyBorder="1"/>
    <xf numFmtId="0" fontId="4" fillId="2" borderId="9" xfId="0" applyFont="1" applyFill="1" applyBorder="1"/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/>
    <xf numFmtId="44" fontId="4" fillId="2" borderId="0" xfId="0" applyNumberFormat="1" applyFont="1" applyFill="1"/>
    <xf numFmtId="0" fontId="3" fillId="0" borderId="7" xfId="4" applyAlignment="1">
      <alignment horizontal="left"/>
    </xf>
    <xf numFmtId="0" fontId="0" fillId="3" borderId="0" xfId="0" applyFill="1"/>
    <xf numFmtId="0" fontId="4" fillId="3" borderId="0" xfId="0" applyFont="1" applyFill="1"/>
    <xf numFmtId="0" fontId="0" fillId="3" borderId="0" xfId="0" applyFill="1" applyBorder="1" applyProtection="1">
      <protection locked="0"/>
    </xf>
    <xf numFmtId="44" fontId="0" fillId="3" borderId="0" xfId="1" applyFont="1" applyFill="1" applyBorder="1" applyProtection="1">
      <protection locked="0"/>
    </xf>
    <xf numFmtId="44" fontId="0" fillId="3" borderId="0" xfId="1" applyFont="1" applyFill="1" applyProtection="1">
      <protection locked="0"/>
    </xf>
    <xf numFmtId="9" fontId="0" fillId="3" borderId="0" xfId="2" applyFont="1" applyFill="1" applyBorder="1" applyAlignment="1" applyProtection="1">
      <alignment horizontal="center"/>
      <protection locked="0"/>
    </xf>
    <xf numFmtId="9" fontId="0" fillId="3" borderId="5" xfId="2" applyFont="1" applyFill="1" applyBorder="1" applyAlignment="1" applyProtection="1">
      <alignment horizontal="center"/>
      <protection locked="0"/>
    </xf>
  </cellXfs>
  <cellStyles count="5">
    <cellStyle name="Moeda" xfId="1" builtinId="4"/>
    <cellStyle name="Normal" xfId="0" builtinId="0"/>
    <cellStyle name="Porcentagem" xfId="2" builtinId="5"/>
    <cellStyle name="Título 1" xfId="3" builtinId="16"/>
    <cellStyle name="Título 2" xfId="4" builtinId="17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152400</xdr:rowOff>
    </xdr:from>
    <xdr:to>
      <xdr:col>1</xdr:col>
      <xdr:colOff>7575</xdr:colOff>
      <xdr:row>2</xdr:row>
      <xdr:rowOff>64725</xdr:rowOff>
    </xdr:to>
    <xdr:pic>
      <xdr:nvPicPr>
        <xdr:cNvPr id="3" name="Gráfico 2" descr="Gráfico de barras com tendência ascendente com preenchimento sólido">
          <a:extLst>
            <a:ext uri="{FF2B5EF4-FFF2-40B4-BE49-F238E27FC236}">
              <a16:creationId xmlns:a16="http://schemas.microsoft.com/office/drawing/2014/main" id="{C29D7D7C-D254-4643-7D48-D27B92BAF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7175" y="152400"/>
          <a:ext cx="360000" cy="360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9C9BC-EE40-4C1E-BB26-24D2EF94ED73}" name="tb_perfil" displayName="tb_perfil" ref="A1:B4" totalsRowShown="0">
  <autoFilter ref="A1:B4" xr:uid="{DE99C9BC-EE40-4C1E-BB26-24D2EF94ED73}">
    <filterColumn colId="0" hiddenButton="1"/>
    <filterColumn colId="1" hiddenButton="1"/>
  </autoFilter>
  <tableColumns count="2">
    <tableColumn id="1" xr3:uid="{1F28C2EB-E892-4C24-BDF0-CFC8804FAC11}" name="Tipo Investidor"/>
    <tableColumn id="2" xr3:uid="{168C9186-6838-4B06-ADDC-9140BFCC3569}" name="Sugest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3ADDA1-7A35-4C38-A5ED-C8D767B8EFEB}" name="tb_conservador" displayName="tb_conservador" ref="A6:B12" totalsRowShown="0">
  <autoFilter ref="A6:B12" xr:uid="{833ADDA1-7A35-4C38-A5ED-C8D767B8EFEB}">
    <filterColumn colId="0" hiddenButton="1"/>
    <filterColumn colId="1" hiddenButton="1"/>
  </autoFilter>
  <tableColumns count="2">
    <tableColumn id="1" xr3:uid="{64A4E113-8CC2-4328-8477-0AA7C10F744F}" name="Tipo FII"/>
    <tableColumn id="2" xr3:uid="{47DF5E8C-0A85-49AD-8327-8478627D77D0}" name="Sugestão % de Investimento" dataDxfId="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6DCD72-682E-4C38-AF44-DACE30F5A49A}" name="tb_moderado" displayName="tb_moderado" ref="A14:B20" totalsRowShown="0">
  <autoFilter ref="A14:B20" xr:uid="{C96DCD72-682E-4C38-AF44-DACE30F5A49A}">
    <filterColumn colId="0" hiddenButton="1"/>
    <filterColumn colId="1" hiddenButton="1"/>
  </autoFilter>
  <tableColumns count="2">
    <tableColumn id="1" xr3:uid="{40E74859-A24D-4CEB-A6AC-20023A4BB3AB}" name="Tipo FII"/>
    <tableColumn id="2" xr3:uid="{C5D41C71-6688-47B9-B4F7-795BCEC4A173}" name="Sugestão % de Investimento" dataDxfId="1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170A4E-D8AB-42BF-9CF6-D8053EC80CB3}" name="tb_Agressivo" displayName="tb_Agressivo" ref="A22:B28" totalsRowShown="0">
  <autoFilter ref="A22:B28" xr:uid="{32170A4E-D8AB-42BF-9CF6-D8053EC80CB3}">
    <filterColumn colId="0" hiddenButton="1"/>
    <filterColumn colId="1" hiddenButton="1"/>
  </autoFilter>
  <tableColumns count="2">
    <tableColumn id="1" xr3:uid="{55E18048-5144-4AE5-973C-B1E89818C6E1}" name="Tipo FII"/>
    <tableColumn id="2" xr3:uid="{5849C00B-0D9D-4FB3-A04D-366658E38933}" name="Sugestão % de Investimento" dataDxfId="0" dataCellStyle="Porcenta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57BF-32CD-494A-AE6F-495235A19D2B}">
  <dimension ref="B2:O22"/>
  <sheetViews>
    <sheetView showGridLines="0" showRowColHeaders="0" tabSelected="1" workbookViewId="0">
      <selection activeCell="L5" sqref="L5"/>
    </sheetView>
  </sheetViews>
  <sheetFormatPr defaultRowHeight="15" x14ac:dyDescent="0.25"/>
  <cols>
    <col min="2" max="2" width="24.140625" customWidth="1"/>
    <col min="3" max="3" width="14.28515625" bestFit="1" customWidth="1"/>
    <col min="5" max="5" width="5.7109375" customWidth="1"/>
    <col min="6" max="6" width="18.140625" customWidth="1"/>
    <col min="7" max="7" width="4.5703125" bestFit="1" customWidth="1"/>
    <col min="8" max="8" width="10.5703125" bestFit="1" customWidth="1"/>
    <col min="9" max="9" width="9.140625" customWidth="1"/>
    <col min="10" max="10" width="10.85546875" bestFit="1" customWidth="1"/>
    <col min="11" max="11" width="13.7109375" customWidth="1"/>
    <col min="12" max="12" width="5.7109375" customWidth="1"/>
    <col min="13" max="13" width="18.5703125" bestFit="1" customWidth="1"/>
    <col min="14" max="14" width="4.5703125" bestFit="1" customWidth="1"/>
    <col min="15" max="15" width="10.5703125" bestFit="1" customWidth="1"/>
  </cols>
  <sheetData>
    <row r="2" spans="2:15" ht="20.25" thickBot="1" x14ac:dyDescent="0.35">
      <c r="B2" s="2" t="s">
        <v>1</v>
      </c>
      <c r="C2" s="2"/>
      <c r="D2" s="2"/>
      <c r="E2" s="2"/>
      <c r="F2" s="2"/>
      <c r="G2" s="2"/>
      <c r="H2" s="2"/>
    </row>
    <row r="3" spans="2:15" ht="15.75" thickTop="1" x14ac:dyDescent="0.25">
      <c r="B3" t="s">
        <v>20</v>
      </c>
    </row>
    <row r="4" spans="2:15" x14ac:dyDescent="0.25">
      <c r="B4" t="s">
        <v>21</v>
      </c>
    </row>
    <row r="5" spans="2:15" x14ac:dyDescent="0.25">
      <c r="B5" t="s">
        <v>22</v>
      </c>
    </row>
    <row r="6" spans="2:15" x14ac:dyDescent="0.25">
      <c r="B6" t="s">
        <v>23</v>
      </c>
    </row>
    <row r="8" spans="2:15" x14ac:dyDescent="0.25">
      <c r="B8" s="24" t="s">
        <v>31</v>
      </c>
      <c r="C8" s="23"/>
      <c r="D8" s="23"/>
    </row>
    <row r="10" spans="2:15" ht="18" thickBot="1" x14ac:dyDescent="0.35">
      <c r="B10" s="6" t="s">
        <v>0</v>
      </c>
      <c r="C10" s="5"/>
      <c r="D10" s="5"/>
      <c r="E10" s="5"/>
      <c r="F10" s="5"/>
      <c r="G10" s="5"/>
      <c r="H10" s="5"/>
    </row>
    <row r="11" spans="2:15" ht="15.75" thickTop="1" x14ac:dyDescent="0.25">
      <c r="B11" s="7" t="s">
        <v>3</v>
      </c>
      <c r="C11" s="25" t="s">
        <v>5</v>
      </c>
      <c r="D11" s="4"/>
      <c r="E11" s="4"/>
      <c r="F11" s="4"/>
      <c r="G11" s="4"/>
      <c r="H11" s="4"/>
    </row>
    <row r="12" spans="2:15" x14ac:dyDescent="0.25">
      <c r="B12" s="7" t="s">
        <v>2</v>
      </c>
      <c r="C12" s="26">
        <v>5000</v>
      </c>
      <c r="D12" s="4"/>
      <c r="E12" s="4"/>
      <c r="F12" s="4"/>
      <c r="G12" s="4"/>
      <c r="H12" s="4"/>
    </row>
    <row r="13" spans="2:15" ht="15.75" thickBot="1" x14ac:dyDescent="0.3"/>
    <row r="14" spans="2:15" ht="18" thickBot="1" x14ac:dyDescent="0.35">
      <c r="B14" s="8" t="s">
        <v>24</v>
      </c>
      <c r="C14" s="8"/>
      <c r="D14" s="8"/>
      <c r="F14" s="18" t="s">
        <v>25</v>
      </c>
      <c r="G14" s="19" t="s">
        <v>26</v>
      </c>
      <c r="H14" s="20" t="s">
        <v>27</v>
      </c>
      <c r="J14" s="22" t="s">
        <v>29</v>
      </c>
      <c r="K14" s="22"/>
      <c r="M14" s="18" t="s">
        <v>25</v>
      </c>
      <c r="N14" s="19" t="s">
        <v>26</v>
      </c>
      <c r="O14" s="20" t="s">
        <v>27</v>
      </c>
    </row>
    <row r="15" spans="2:15" ht="15.75" customHeight="1" thickTop="1" x14ac:dyDescent="0.25">
      <c r="B15" s="9" t="str">
        <f>VLOOKUP($C$11,tb_perfil[],2,FALSE)</f>
        <v>De acordo com seu perfil, sugerimos maior concentração de investimentos nos FIIs de tipo TIJOLO.</v>
      </c>
      <c r="C15" s="9"/>
      <c r="D15" s="9"/>
      <c r="F15" s="12" t="str" cm="1">
        <f t="array" ref="F15:G20">IF($C$11="Conservador",tb_conservador[],IF($C$11="Moderado",tb_moderado[],tb_Agressivo[]))</f>
        <v>PAPEL</v>
      </c>
      <c r="G15" s="13">
        <v>0.3</v>
      </c>
      <c r="H15" s="14">
        <f>$C$20*G15</f>
        <v>300</v>
      </c>
      <c r="J15" t="s">
        <v>30</v>
      </c>
      <c r="K15" s="27">
        <v>700</v>
      </c>
      <c r="M15" s="12" t="s">
        <v>14</v>
      </c>
      <c r="N15" s="28">
        <v>0.55000000000000004</v>
      </c>
      <c r="O15" s="14">
        <f>$K$15*N15</f>
        <v>385.00000000000006</v>
      </c>
    </row>
    <row r="16" spans="2:15" x14ac:dyDescent="0.25">
      <c r="B16" s="10"/>
      <c r="C16" s="10"/>
      <c r="D16" s="10"/>
      <c r="F16" s="12" t="str">
        <v>TIJOLO</v>
      </c>
      <c r="G16" s="13">
        <v>0.5</v>
      </c>
      <c r="H16" s="14">
        <f>$C$20*G16</f>
        <v>500</v>
      </c>
      <c r="M16" s="12" t="s">
        <v>15</v>
      </c>
      <c r="N16" s="28">
        <v>0.15</v>
      </c>
      <c r="O16" s="14">
        <f t="shared" ref="O16:O20" si="0">$K$15*N16</f>
        <v>105</v>
      </c>
    </row>
    <row r="17" spans="2:15" x14ac:dyDescent="0.25">
      <c r="B17" s="10"/>
      <c r="C17" s="10"/>
      <c r="D17" s="10"/>
      <c r="F17" s="12" t="str">
        <v>HÍBRIDOS</v>
      </c>
      <c r="G17" s="13">
        <v>0.1</v>
      </c>
      <c r="H17" s="14">
        <f>$C$20*G17</f>
        <v>100</v>
      </c>
      <c r="M17" s="12" t="s">
        <v>16</v>
      </c>
      <c r="N17" s="28">
        <v>0.1</v>
      </c>
      <c r="O17" s="14">
        <f t="shared" si="0"/>
        <v>70</v>
      </c>
    </row>
    <row r="18" spans="2:15" x14ac:dyDescent="0.25">
      <c r="B18" s="10"/>
      <c r="C18" s="10"/>
      <c r="D18" s="10"/>
      <c r="F18" s="12" t="str">
        <v>FOFs</v>
      </c>
      <c r="G18" s="13">
        <v>0.1</v>
      </c>
      <c r="H18" s="14">
        <f>$C$20*G18</f>
        <v>100</v>
      </c>
      <c r="M18" s="12" t="s">
        <v>17</v>
      </c>
      <c r="N18" s="28">
        <v>0.1</v>
      </c>
      <c r="O18" s="14">
        <f t="shared" si="0"/>
        <v>70</v>
      </c>
    </row>
    <row r="19" spans="2:15" x14ac:dyDescent="0.25">
      <c r="F19" s="12" t="str">
        <v>DESENVOLVIMENTO</v>
      </c>
      <c r="G19" s="13">
        <v>0</v>
      </c>
      <c r="H19" s="14">
        <f>$C$20*G19</f>
        <v>0</v>
      </c>
      <c r="M19" s="12" t="s">
        <v>18</v>
      </c>
      <c r="N19" s="28">
        <v>0.05</v>
      </c>
      <c r="O19" s="14">
        <f t="shared" si="0"/>
        <v>35</v>
      </c>
    </row>
    <row r="20" spans="2:15" ht="15.75" thickBot="1" x14ac:dyDescent="0.3">
      <c r="B20" s="11" t="s">
        <v>28</v>
      </c>
      <c r="C20" s="21">
        <f>$C$12*20%</f>
        <v>1000</v>
      </c>
      <c r="F20" s="15" t="str">
        <v>HOTELARIAS</v>
      </c>
      <c r="G20" s="16">
        <v>0</v>
      </c>
      <c r="H20" s="17">
        <f>$C$20*G20</f>
        <v>0</v>
      </c>
      <c r="M20" s="15" t="s">
        <v>19</v>
      </c>
      <c r="N20" s="29">
        <v>0.05</v>
      </c>
      <c r="O20" s="17">
        <f t="shared" si="0"/>
        <v>35</v>
      </c>
    </row>
    <row r="21" spans="2:15" x14ac:dyDescent="0.25">
      <c r="H21" s="1"/>
    </row>
    <row r="22" spans="2:15" x14ac:dyDescent="0.25">
      <c r="H22" s="1"/>
    </row>
  </sheetData>
  <sheetProtection algorithmName="SHA-512" hashValue="EQ+1EQED3WtKx57IsBjROc6kGHciiUQvbJkclTxE+EbKSjj6ssuRWK4GqOeGLW+1S8Uw7v6iU/Un/Zk+nnwMlA==" saltValue="U3v96XW4xCc0sfYYCxbTgg==" spinCount="100000" sheet="1" objects="1" scenarios="1"/>
  <mergeCells count="2">
    <mergeCell ref="B15:D18"/>
    <mergeCell ref="J14:K14"/>
  </mergeCells>
  <dataValidations count="1">
    <dataValidation type="list" allowBlank="1" showInputMessage="1" showErrorMessage="1" sqref="C11" xr:uid="{16D62F64-BC6A-4A7E-8434-E9C802C3463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5F3A-BDCA-421D-B799-901CCEB14C38}">
  <dimension ref="A1:B28"/>
  <sheetViews>
    <sheetView workbookViewId="0">
      <selection activeCell="B10" sqref="B10"/>
    </sheetView>
  </sheetViews>
  <sheetFormatPr defaultRowHeight="15" x14ac:dyDescent="0.25"/>
  <cols>
    <col min="1" max="1" width="18.5703125" bestFit="1" customWidth="1"/>
    <col min="2" max="2" width="160.57031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5</v>
      </c>
      <c r="B2" t="s">
        <v>7</v>
      </c>
    </row>
    <row r="3" spans="1:2" x14ac:dyDescent="0.25">
      <c r="A3" t="s">
        <v>4</v>
      </c>
      <c r="B3" t="s">
        <v>8</v>
      </c>
    </row>
    <row r="4" spans="1:2" x14ac:dyDescent="0.25">
      <c r="A4" t="s">
        <v>6</v>
      </c>
      <c r="B4" t="s">
        <v>9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s="3">
        <v>0.3</v>
      </c>
    </row>
    <row r="8" spans="1:2" x14ac:dyDescent="0.25">
      <c r="A8" t="s">
        <v>15</v>
      </c>
      <c r="B8" s="3">
        <v>0.5</v>
      </c>
    </row>
    <row r="9" spans="1:2" x14ac:dyDescent="0.25">
      <c r="A9" t="s">
        <v>16</v>
      </c>
      <c r="B9" s="3">
        <v>0.1</v>
      </c>
    </row>
    <row r="10" spans="1:2" x14ac:dyDescent="0.25">
      <c r="A10" t="s">
        <v>17</v>
      </c>
      <c r="B10" s="3">
        <v>0.1</v>
      </c>
    </row>
    <row r="11" spans="1:2" x14ac:dyDescent="0.25">
      <c r="A11" t="s">
        <v>18</v>
      </c>
      <c r="B11" s="3">
        <v>0</v>
      </c>
    </row>
    <row r="12" spans="1:2" x14ac:dyDescent="0.25">
      <c r="A12" t="s">
        <v>19</v>
      </c>
      <c r="B12" s="3">
        <v>0</v>
      </c>
    </row>
    <row r="14" spans="1:2" x14ac:dyDescent="0.25">
      <c r="A14" t="s">
        <v>12</v>
      </c>
      <c r="B14" t="s">
        <v>13</v>
      </c>
    </row>
    <row r="15" spans="1:2" x14ac:dyDescent="0.25">
      <c r="A15" t="s">
        <v>14</v>
      </c>
      <c r="B15" s="3">
        <v>0.32</v>
      </c>
    </row>
    <row r="16" spans="1:2" x14ac:dyDescent="0.25">
      <c r="A16" t="s">
        <v>15</v>
      </c>
      <c r="B16" s="3">
        <v>0.35</v>
      </c>
    </row>
    <row r="17" spans="1:2" x14ac:dyDescent="0.25">
      <c r="A17" t="s">
        <v>16</v>
      </c>
      <c r="B17" s="3">
        <v>0.08</v>
      </c>
    </row>
    <row r="18" spans="1:2" x14ac:dyDescent="0.25">
      <c r="A18" t="s">
        <v>17</v>
      </c>
      <c r="B18" s="3">
        <v>0.05</v>
      </c>
    </row>
    <row r="19" spans="1:2" x14ac:dyDescent="0.25">
      <c r="A19" t="s">
        <v>18</v>
      </c>
      <c r="B19" s="3">
        <v>0.1</v>
      </c>
    </row>
    <row r="20" spans="1:2" x14ac:dyDescent="0.25">
      <c r="A20" t="s">
        <v>19</v>
      </c>
      <c r="B20" s="3">
        <v>0.1</v>
      </c>
    </row>
    <row r="22" spans="1:2" x14ac:dyDescent="0.25">
      <c r="A22" t="s">
        <v>12</v>
      </c>
      <c r="B22" t="s">
        <v>13</v>
      </c>
    </row>
    <row r="23" spans="1:2" x14ac:dyDescent="0.25">
      <c r="A23" t="s">
        <v>14</v>
      </c>
      <c r="B23" s="3">
        <v>0.5</v>
      </c>
    </row>
    <row r="24" spans="1:2" x14ac:dyDescent="0.25">
      <c r="A24" t="s">
        <v>15</v>
      </c>
      <c r="B24" s="3">
        <v>0.1</v>
      </c>
    </row>
    <row r="25" spans="1:2" x14ac:dyDescent="0.25">
      <c r="A25" t="s">
        <v>16</v>
      </c>
      <c r="B25" s="3">
        <v>0.05</v>
      </c>
    </row>
    <row r="26" spans="1:2" x14ac:dyDescent="0.25">
      <c r="A26" t="s">
        <v>17</v>
      </c>
      <c r="B26" s="3">
        <v>0.05</v>
      </c>
    </row>
    <row r="27" spans="1:2" x14ac:dyDescent="0.25">
      <c r="A27" t="s">
        <v>18</v>
      </c>
      <c r="B27" s="3">
        <v>0.2</v>
      </c>
    </row>
    <row r="28" spans="1:2" x14ac:dyDescent="0.25">
      <c r="A28" t="s">
        <v>19</v>
      </c>
      <c r="B28" s="3">
        <v>0.1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Investimentos</vt:lpstr>
      <vt:lpstr>Tabelas Auxiliares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Sanches</dc:creator>
  <cp:lastModifiedBy>Paulo Sanches</cp:lastModifiedBy>
  <dcterms:created xsi:type="dcterms:W3CDTF">2025-12-15T12:55:07Z</dcterms:created>
  <dcterms:modified xsi:type="dcterms:W3CDTF">2025-12-15T18:50:17Z</dcterms:modified>
</cp:coreProperties>
</file>